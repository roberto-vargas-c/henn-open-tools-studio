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berlin152\Office\03_Library\10 GH SCRIPTS\Tool Catalogue\AreaTools\Excel to Room Advanced\"/>
    </mc:Choice>
  </mc:AlternateContent>
  <xr:revisionPtr revIDLastSave="0" documentId="13_ncr:1_{15C944F9-9066-48DA-AEC7-9B2F96EEBDE4}" xr6:coauthVersionLast="47" xr6:coauthVersionMax="47" xr10:uidLastSave="{00000000-0000-0000-0000-000000000000}"/>
  <bookViews>
    <workbookView xWindow="19090" yWindow="-110" windowWidth="38620" windowHeight="21100" activeTab="1" xr2:uid="{00000000-000D-0000-FFFF-FFFF00000000}"/>
  </bookViews>
  <sheets>
    <sheet name="New Building" sheetId="6" r:id="rId1"/>
    <sheet name="BMZ Office" sheetId="5" r:id="rId2"/>
  </sheets>
  <definedNames>
    <definedName name="_xlnm._FilterDatabase" localSheetId="1" hidden="1">'BMZ Office'!$A$1:$D$6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4" i="5" l="1"/>
  <c r="J55" i="5"/>
  <c r="I17" i="5"/>
  <c r="J17" i="5" s="1"/>
  <c r="I21" i="5"/>
  <c r="J21" i="5" s="1"/>
  <c r="I29" i="5"/>
  <c r="J29" i="5" s="1"/>
  <c r="I31" i="5"/>
  <c r="J31" i="5" s="1"/>
  <c r="I32" i="5"/>
  <c r="J32" i="5" s="1"/>
  <c r="I34" i="5"/>
  <c r="J34" i="5" s="1"/>
  <c r="I35" i="5"/>
  <c r="J35" i="5" s="1"/>
  <c r="I36" i="5"/>
  <c r="J36" i="5" s="1"/>
  <c r="I54" i="5"/>
  <c r="I55" i="5"/>
  <c r="I56" i="5"/>
  <c r="J56" i="5" s="1"/>
  <c r="I57" i="5"/>
  <c r="J57" i="5" s="1"/>
  <c r="I58" i="5"/>
  <c r="J58" i="5" s="1"/>
  <c r="I59" i="5"/>
  <c r="J59" i="5" s="1"/>
  <c r="I60" i="5"/>
  <c r="J60" i="5" s="1"/>
  <c r="I61" i="5"/>
  <c r="J61" i="5" s="1"/>
  <c r="I62" i="5"/>
  <c r="J62" i="5" s="1"/>
  <c r="G29" i="5"/>
  <c r="G46" i="5"/>
  <c r="G47" i="5"/>
  <c r="G48" i="5"/>
  <c r="G49" i="5"/>
  <c r="G50" i="5"/>
  <c r="G54" i="5"/>
  <c r="E11" i="5"/>
  <c r="G11" i="5" s="1"/>
  <c r="E12" i="5"/>
  <c r="G12" i="5" s="1"/>
  <c r="E13" i="5"/>
  <c r="G13" i="5" s="1"/>
  <c r="E14" i="5"/>
  <c r="G14" i="5" s="1"/>
  <c r="E15" i="5"/>
  <c r="G15" i="5" s="1"/>
  <c r="E16" i="5"/>
  <c r="G16" i="5" s="1"/>
  <c r="E17" i="5"/>
  <c r="G17" i="5" s="1"/>
  <c r="E18" i="5"/>
  <c r="G18" i="5" s="1"/>
  <c r="E19" i="5"/>
  <c r="I19" i="5" s="1"/>
  <c r="J19" i="5" s="1"/>
  <c r="E20" i="5"/>
  <c r="I20" i="5" s="1"/>
  <c r="J20" i="5" s="1"/>
  <c r="E21" i="5"/>
  <c r="G21" i="5" s="1"/>
  <c r="E22" i="5"/>
  <c r="I22" i="5" s="1"/>
  <c r="J22" i="5" s="1"/>
  <c r="E23" i="5"/>
  <c r="G23" i="5" s="1"/>
  <c r="E24" i="5"/>
  <c r="G24" i="5" s="1"/>
  <c r="E25" i="5"/>
  <c r="G25" i="5" s="1"/>
  <c r="E26" i="5"/>
  <c r="G26" i="5" s="1"/>
  <c r="E27" i="5"/>
  <c r="G27" i="5" s="1"/>
  <c r="E28" i="5"/>
  <c r="I28" i="5" s="1"/>
  <c r="J28" i="5" s="1"/>
  <c r="E29" i="5"/>
  <c r="E30" i="5"/>
  <c r="G30" i="5" s="1"/>
  <c r="E31" i="5"/>
  <c r="G31" i="5" s="1"/>
  <c r="E32" i="5"/>
  <c r="G32" i="5" s="1"/>
  <c r="E34" i="5"/>
  <c r="G34" i="5" s="1"/>
  <c r="E35" i="5"/>
  <c r="G35" i="5" s="1"/>
  <c r="E36" i="5"/>
  <c r="G36" i="5" s="1"/>
  <c r="E37" i="5"/>
  <c r="G37" i="5" s="1"/>
  <c r="E38" i="5"/>
  <c r="G38" i="5" s="1"/>
  <c r="E39" i="5"/>
  <c r="G39" i="5" s="1"/>
  <c r="E40" i="5"/>
  <c r="G40" i="5" s="1"/>
  <c r="E41" i="5"/>
  <c r="G41" i="5" s="1"/>
  <c r="E42" i="5"/>
  <c r="G42" i="5" s="1"/>
  <c r="E43" i="5"/>
  <c r="G43" i="5" s="1"/>
  <c r="E44" i="5"/>
  <c r="I44" i="5" s="1"/>
  <c r="J44" i="5" s="1"/>
  <c r="E45" i="5"/>
  <c r="I45" i="5" s="1"/>
  <c r="J45" i="5" s="1"/>
  <c r="E46" i="5"/>
  <c r="I46" i="5" s="1"/>
  <c r="J46" i="5" s="1"/>
  <c r="E47" i="5"/>
  <c r="I47" i="5" s="1"/>
  <c r="J47" i="5" s="1"/>
  <c r="E48" i="5"/>
  <c r="I48" i="5" s="1"/>
  <c r="J48" i="5" s="1"/>
  <c r="E49" i="5"/>
  <c r="I49" i="5" s="1"/>
  <c r="J49" i="5" s="1"/>
  <c r="E50" i="5"/>
  <c r="I50" i="5" s="1"/>
  <c r="J50" i="5" s="1"/>
  <c r="E51" i="5"/>
  <c r="G51" i="5" s="1"/>
  <c r="E52" i="5"/>
  <c r="I52" i="5" s="1"/>
  <c r="J52" i="5" s="1"/>
  <c r="E53" i="5"/>
  <c r="G53" i="5" s="1"/>
  <c r="E54" i="5"/>
  <c r="E55" i="5"/>
  <c r="G55" i="5" s="1"/>
  <c r="E56" i="5"/>
  <c r="G56" i="5" s="1"/>
  <c r="E57" i="5"/>
  <c r="G57" i="5" s="1"/>
  <c r="E58" i="5"/>
  <c r="G58" i="5" s="1"/>
  <c r="E59" i="5"/>
  <c r="G59" i="5" s="1"/>
  <c r="E60" i="5"/>
  <c r="G60" i="5" s="1"/>
  <c r="E61" i="5"/>
  <c r="G61" i="5" s="1"/>
  <c r="E62" i="5"/>
  <c r="G62" i="5" s="1"/>
  <c r="E64" i="5"/>
  <c r="G64" i="5" s="1"/>
  <c r="E65" i="5"/>
  <c r="G65" i="5" s="1"/>
  <c r="E66" i="5"/>
  <c r="G66" i="5" s="1"/>
  <c r="E67" i="5"/>
  <c r="G67" i="5" s="1"/>
  <c r="E69" i="5"/>
  <c r="I69" i="5" s="1"/>
  <c r="J69" i="5" s="1"/>
  <c r="E7" i="5"/>
  <c r="I7" i="5" s="1"/>
  <c r="J7" i="5" s="1"/>
  <c r="E8" i="5"/>
  <c r="I8" i="5" s="1"/>
  <c r="J8" i="5" s="1"/>
  <c r="E9" i="5"/>
  <c r="I9" i="5" s="1"/>
  <c r="J9" i="5" s="1"/>
  <c r="E10" i="5"/>
  <c r="G10" i="5" s="1"/>
  <c r="E6" i="5"/>
  <c r="E4" i="5"/>
  <c r="G4" i="5" s="1"/>
  <c r="H3" i="5"/>
  <c r="E3" i="5"/>
  <c r="E5" i="5"/>
  <c r="G45" i="5" l="1"/>
  <c r="G28" i="5"/>
  <c r="I26" i="5"/>
  <c r="J26" i="5" s="1"/>
  <c r="I53" i="5"/>
  <c r="J53" i="5" s="1"/>
  <c r="I27" i="5"/>
  <c r="J27" i="5" s="1"/>
  <c r="I25" i="5"/>
  <c r="J25" i="5" s="1"/>
  <c r="I51" i="5"/>
  <c r="J51" i="5" s="1"/>
  <c r="I24" i="5"/>
  <c r="J24" i="5" s="1"/>
  <c r="I23" i="5"/>
  <c r="J23" i="5" s="1"/>
  <c r="I18" i="5"/>
  <c r="J18" i="5" s="1"/>
  <c r="I16" i="5"/>
  <c r="J16" i="5" s="1"/>
  <c r="G22" i="5"/>
  <c r="G20" i="5"/>
  <c r="G9" i="5"/>
  <c r="I43" i="5"/>
  <c r="J43" i="5" s="1"/>
  <c r="I42" i="5"/>
  <c r="J42" i="5" s="1"/>
  <c r="I67" i="5"/>
  <c r="J67" i="5" s="1"/>
  <c r="I41" i="5"/>
  <c r="J41" i="5" s="1"/>
  <c r="I66" i="5"/>
  <c r="J66" i="5" s="1"/>
  <c r="I11" i="5"/>
  <c r="J11" i="5" s="1"/>
  <c r="I65" i="5"/>
  <c r="J65" i="5" s="1"/>
  <c r="I39" i="5"/>
  <c r="J39" i="5" s="1"/>
  <c r="I10" i="5"/>
  <c r="J10" i="5" s="1"/>
  <c r="G52" i="5"/>
  <c r="I64" i="5"/>
  <c r="J64" i="5" s="1"/>
  <c r="I38" i="5"/>
  <c r="J38" i="5" s="1"/>
  <c r="I15" i="5"/>
  <c r="J15" i="5" s="1"/>
  <c r="I14" i="5"/>
  <c r="J14" i="5" s="1"/>
  <c r="G8" i="5"/>
  <c r="I13" i="5"/>
  <c r="J13" i="5" s="1"/>
  <c r="I12" i="5"/>
  <c r="J12" i="5" s="1"/>
  <c r="I40" i="5"/>
  <c r="J40" i="5" s="1"/>
  <c r="I37" i="5"/>
  <c r="J37" i="5" s="1"/>
  <c r="G19" i="5"/>
  <c r="I30" i="5"/>
  <c r="J30" i="5" s="1"/>
  <c r="G69" i="5"/>
  <c r="G7" i="5"/>
  <c r="G44" i="5"/>
  <c r="G5" i="5"/>
  <c r="G3" i="5" l="1"/>
  <c r="G6" i="5"/>
  <c r="I6" i="5"/>
  <c r="J6" i="5" s="1"/>
  <c r="I3" i="5"/>
  <c r="J3" i="5" s="1"/>
  <c r="I5" i="5"/>
  <c r="J5" i="5" s="1"/>
  <c r="I4" i="5"/>
  <c r="J4" i="5" s="1"/>
</calcChain>
</file>

<file path=xl/sharedStrings.xml><?xml version="1.0" encoding="utf-8"?>
<sst xmlns="http://schemas.openxmlformats.org/spreadsheetml/2006/main" count="101" uniqueCount="93">
  <si>
    <t>Raumtyp</t>
  </si>
  <si>
    <t>Raumnr.</t>
  </si>
  <si>
    <t>m²</t>
  </si>
  <si>
    <t>Breite</t>
  </si>
  <si>
    <t>Tiefe</t>
  </si>
  <si>
    <t>Ratio</t>
  </si>
  <si>
    <t>Opt. Tiefe</t>
  </si>
  <si>
    <t>Fläche</t>
  </si>
  <si>
    <t>Diff.</t>
  </si>
  <si>
    <t>Number of rooms</t>
  </si>
  <si>
    <t>1.1.1</t>
  </si>
  <si>
    <t>Büro Minister:in</t>
  </si>
  <si>
    <t>1.1.2</t>
  </si>
  <si>
    <t>Ruheraum Minister:in</t>
  </si>
  <si>
    <t>1.1.3</t>
  </si>
  <si>
    <t>Dusche WC Minister:in</t>
  </si>
  <si>
    <t>1.1.4</t>
  </si>
  <si>
    <t>Vorzimmer Büro Minister:in</t>
  </si>
  <si>
    <t>Leitungsbereich</t>
  </si>
  <si>
    <t>1.1.5</t>
  </si>
  <si>
    <t>Leiter:in Büro Minister:in</t>
  </si>
  <si>
    <t>1.1.6</t>
  </si>
  <si>
    <t>1.1.7</t>
  </si>
  <si>
    <t>Kopieren|Scannen|Drucken</t>
  </si>
  <si>
    <t>1.1.8</t>
  </si>
  <si>
    <t>Besprechungsraum Minister:in - klein</t>
  </si>
  <si>
    <t>1.1.9</t>
  </si>
  <si>
    <t>Besprechungsraum Ministe:in - groß</t>
  </si>
  <si>
    <t>Serviceraum Minister:in</t>
  </si>
  <si>
    <t>Büro Staatssekretär:in</t>
  </si>
  <si>
    <t>Vorzimmer Staatssekretär:in</t>
  </si>
  <si>
    <t>Leiter:in StS Büro</t>
  </si>
  <si>
    <t>Büros PStS Beauftragte:r</t>
  </si>
  <si>
    <t>Vorzimmer PStS, Beauftragte:r</t>
  </si>
  <si>
    <t>Büros Leiter:in Leitungs- bzw. Kommunikationsstab</t>
  </si>
  <si>
    <t>Vorzimmer Leiter:in</t>
  </si>
  <si>
    <t>BKA Büros, barrierefrei</t>
  </si>
  <si>
    <t>Kollaborationsfläche|Meetingraum| Teamraum - groß</t>
  </si>
  <si>
    <t>Kollaborationsflächen|Meetingräume| Teamräume - klein</t>
  </si>
  <si>
    <t>Bürobereich der Abteilungen</t>
  </si>
  <si>
    <t>Büros Abteilungsleitungen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</si>
  <si>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</si>
  <si>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</si>
  <si>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</si>
  <si>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</si>
  <si>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</si>
  <si>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</si>
  <si>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</si>
  <si>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</si>
  <si>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Pass|Visastelle</t>
  </si>
  <si>
    <t>Einzelbüros Mitarbeitende (Desksharing)</t>
  </si>
  <si>
    <t>Arbeitsplätze in offenen Bereichen (Desksharing)</t>
  </si>
  <si>
    <t>Bürobereich besondere Aufgaben</t>
  </si>
  <si>
    <t>1.3.1</t>
  </si>
  <si>
    <t>1.3.2</t>
  </si>
  <si>
    <t>1.3.3</t>
  </si>
  <si>
    <t>1.3.4</t>
  </si>
  <si>
    <t>1.4.1</t>
  </si>
  <si>
    <t>WC</t>
  </si>
  <si>
    <t>Büros Mitarbeitende</t>
  </si>
  <si>
    <t>Büros Referatsleitungen</t>
  </si>
  <si>
    <t>Barrierefreie Büros</t>
  </si>
  <si>
    <t>Social Spaces</t>
  </si>
  <si>
    <t>Lager Protokoll</t>
  </si>
  <si>
    <t>Putzraum</t>
  </si>
  <si>
    <t>IT-Etagenverteilerräume</t>
  </si>
  <si>
    <t>1.2.1</t>
  </si>
  <si>
    <t>Assistenz Abteilungsleitungen: Vorzimmer und Koordinator*innen</t>
  </si>
  <si>
    <t>Büros Unterabteilungsleitungen</t>
  </si>
  <si>
    <t>Vorzimmer Unterabteilungsleitungen</t>
  </si>
  <si>
    <t>Büro Personalrat</t>
  </si>
  <si>
    <t>Büro Gleichstellungsbeauftragte</t>
  </si>
  <si>
    <t>Büros Mitarbeitende (feste Arbeitsplätze)</t>
  </si>
  <si>
    <t>Barrierefreie Büros (fest zugeordnet)</t>
  </si>
  <si>
    <t>VS Leseräume</t>
  </si>
  <si>
    <t>Eltern-Kind-Zimmer 1</t>
  </si>
  <si>
    <t>Büro Hausverwaltung</t>
  </si>
  <si>
    <t>Büro Konferenztechnik</t>
  </si>
  <si>
    <t>Hauptbüro</t>
  </si>
  <si>
    <t>Fremdmitarbeiter - groß</t>
  </si>
  <si>
    <t>Fremdmitarbeiter - klein</t>
  </si>
  <si>
    <t>Schlüsselverwaltung</t>
  </si>
  <si>
    <t>Telefonzentrale / Managementarbeitsplatz</t>
  </si>
  <si>
    <t>Behandlungsraum Betriebsarzt / Betriebsärztin, Erste-Hilfe-Raum und Ruheraum</t>
  </si>
  <si>
    <t>Warteraum / Registrierung</t>
  </si>
  <si>
    <t>Ruheraum für werdende und stillende Mütter</t>
  </si>
  <si>
    <t>Kollaborationsflächen</t>
  </si>
  <si>
    <t>Kopieren / Scannen / Zentraldrucker</t>
  </si>
  <si>
    <t>Büro Referatsleitung besondere Aufgaben</t>
  </si>
  <si>
    <t>Büro Mitarbeitende besondere Aufgaben</t>
  </si>
  <si>
    <t>Registratur besondere Aufgaben</t>
  </si>
  <si>
    <t>Büroraum besondere Aufgaben</t>
  </si>
  <si>
    <t xml:space="preserve">Sanitärräume Bürobereich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</si>
</sst>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.d\.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Source Sans Pro"/>
      <family val="2"/>
    </font>
    <font>
      <sz val="10"/>
      <color theme="0" tint="-0.249977111117893"/>
      <name val="Source Sans Pro"/>
      <family val="2"/>
    </font>
    <font>
      <b/>
      <sz val="10"/>
      <color rgb="FF000000"/>
      <name val="Source Sans Pro"/>
      <family val="2"/>
    </font>
    <font>
      <b/>
      <sz val="10"/>
      <name val="Source Sans Pro"/>
      <family val="2"/>
    </font>
    <font>
      <sz val="10"/>
      <color theme="1"/>
      <name val="Source Sans Pro"/>
      <family val="2"/>
    </font>
    <font>
      <sz val="10"/>
      <color rgb="FF000000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4" borderId="4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2" fontId="2" fillId="4" borderId="1" xfId="0" applyNumberFormat="1" applyFont="1" applyFill="1" applyBorder="1" applyAlignment="1">
      <alignment horizontal="right" wrapText="1"/>
    </xf>
    <xf numFmtId="2" fontId="3" fillId="4" borderId="1" xfId="0" applyNumberFormat="1" applyFont="1" applyFill="1" applyBorder="1" applyAlignment="1">
      <alignment horizontal="right" wrapText="1"/>
    </xf>
    <xf numFmtId="0" fontId="6" fillId="0" borderId="0" xfId="0" applyFont="1" applyAlignment="1">
      <alignment horizontal="right"/>
    </xf>
    <xf numFmtId="1" fontId="4" fillId="3" borderId="3" xfId="0" applyNumberFormat="1" applyFont="1" applyFill="1" applyBorder="1" applyAlignment="1">
      <alignment horizontal="right" vertical="center" shrinkToFit="1"/>
    </xf>
    <xf numFmtId="0" fontId="5" fillId="3" borderId="2" xfId="0" applyFont="1" applyFill="1" applyBorder="1" applyAlignment="1">
      <alignment horizontal="right" vertical="top" wrapText="1"/>
    </xf>
    <xf numFmtId="2" fontId="6" fillId="3" borderId="2" xfId="0" applyNumberFormat="1" applyFont="1" applyFill="1" applyBorder="1" applyAlignment="1">
      <alignment horizontal="right" wrapText="1"/>
    </xf>
    <xf numFmtId="2" fontId="3" fillId="3" borderId="2" xfId="0" applyNumberFormat="1" applyFont="1" applyFill="1" applyBorder="1" applyAlignment="1">
      <alignment horizontal="right" wrapText="1"/>
    </xf>
    <xf numFmtId="1" fontId="7" fillId="2" borderId="3" xfId="0" applyNumberFormat="1" applyFont="1" applyFill="1" applyBorder="1" applyAlignment="1">
      <alignment horizontal="right" vertical="center" shrinkToFit="1"/>
    </xf>
    <xf numFmtId="0" fontId="2" fillId="2" borderId="2" xfId="0" applyFont="1" applyFill="1" applyBorder="1" applyAlignment="1">
      <alignment horizontal="right" vertical="top" wrapText="1"/>
    </xf>
    <xf numFmtId="2" fontId="7" fillId="0" borderId="2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right"/>
    </xf>
    <xf numFmtId="2" fontId="6" fillId="0" borderId="2" xfId="0" applyNumberFormat="1" applyFont="1" applyBorder="1" applyAlignment="1">
      <alignment horizontal="right" wrapText="1"/>
    </xf>
    <xf numFmtId="0" fontId="2" fillId="0" borderId="7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top" wrapText="1"/>
    </xf>
    <xf numFmtId="1" fontId="7" fillId="0" borderId="7" xfId="0" applyNumberFormat="1" applyFont="1" applyBorder="1" applyAlignment="1">
      <alignment horizontal="right" vertical="center" shrinkToFit="1"/>
    </xf>
    <xf numFmtId="1" fontId="2" fillId="0" borderId="7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 shrinkToFit="1"/>
    </xf>
    <xf numFmtId="1" fontId="7" fillId="0" borderId="7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6" fillId="0" borderId="0" xfId="1" applyFont="1" applyAlignment="1">
      <alignment horizontal="right"/>
    </xf>
    <xf numFmtId="0" fontId="6" fillId="0" borderId="6" xfId="0" applyFont="1" applyBorder="1" applyAlignment="1">
      <alignment horizontal="right"/>
    </xf>
    <xf numFmtId="2" fontId="2" fillId="0" borderId="2" xfId="0" applyNumberFormat="1" applyFont="1" applyBorder="1" applyAlignment="1">
      <alignment horizontal="right" vertical="center" wrapText="1"/>
    </xf>
    <xf numFmtId="2" fontId="6" fillId="3" borderId="8" xfId="0" applyNumberFormat="1" applyFont="1" applyFill="1" applyBorder="1" applyAlignment="1">
      <alignment horizontal="right" wrapText="1"/>
    </xf>
    <xf numFmtId="2" fontId="3" fillId="3" borderId="8" xfId="0" applyNumberFormat="1" applyFont="1" applyFill="1" applyBorder="1" applyAlignment="1">
      <alignment horizontal="right" wrapText="1"/>
    </xf>
    <xf numFmtId="0" fontId="6" fillId="0" borderId="5" xfId="0" applyFont="1" applyBorder="1" applyAlignment="1">
      <alignment horizontal="right"/>
    </xf>
    <xf numFmtId="2" fontId="6" fillId="0" borderId="5" xfId="1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2" fontId="6" fillId="0" borderId="5" xfId="0" applyNumberFormat="1" applyFont="1" applyBorder="1" applyAlignment="1">
      <alignment horizontal="right"/>
    </xf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382905" cy="190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26C4F372-B554-4934-A5C7-584357C5C635}"/>
            </a:ext>
          </a:extLst>
        </xdr:cNvPr>
        <xdr:cNvSpPr/>
      </xdr:nvSpPr>
      <xdr:spPr>
        <a:xfrm>
          <a:off x="5238750" y="23056850"/>
          <a:ext cx="382905" cy="1905"/>
        </a:xfrm>
        <a:custGeom>
          <a:avLst/>
          <a:gdLst/>
          <a:ahLst/>
          <a:cxnLst/>
          <a:rect l="0" t="0" r="0" b="0"/>
          <a:pathLst>
            <a:path w="382905" h="1905">
              <a:moveTo>
                <a:pt x="382524" y="0"/>
              </a:moveTo>
              <a:lnTo>
                <a:pt x="0" y="0"/>
              </a:lnTo>
              <a:lnTo>
                <a:pt x="0" y="1536"/>
              </a:lnTo>
              <a:lnTo>
                <a:pt x="382524" y="1536"/>
              </a:lnTo>
              <a:lnTo>
                <a:pt x="3825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</xdr:row>
      <xdr:rowOff>0</xdr:rowOff>
    </xdr:from>
    <xdr:ext cx="382905" cy="1905"/>
    <xdr:sp macro="" textlink="">
      <xdr:nvSpPr>
        <xdr:cNvPr id="3" name="Shape 7">
          <a:extLst>
            <a:ext uri="{FF2B5EF4-FFF2-40B4-BE49-F238E27FC236}">
              <a16:creationId xmlns:a16="http://schemas.microsoft.com/office/drawing/2014/main" id="{F184D5F2-1597-48A8-93CB-8BDCD36A7D27}"/>
            </a:ext>
          </a:extLst>
        </xdr:cNvPr>
        <xdr:cNvSpPr/>
      </xdr:nvSpPr>
      <xdr:spPr>
        <a:xfrm>
          <a:off x="5238750" y="33153350"/>
          <a:ext cx="382905" cy="1905"/>
        </a:xfrm>
        <a:custGeom>
          <a:avLst/>
          <a:gdLst/>
          <a:ahLst/>
          <a:cxnLst/>
          <a:rect l="0" t="0" r="0" b="0"/>
          <a:pathLst>
            <a:path w="382905" h="1905">
              <a:moveTo>
                <a:pt x="382524" y="0"/>
              </a:moveTo>
              <a:lnTo>
                <a:pt x="0" y="0"/>
              </a:lnTo>
              <a:lnTo>
                <a:pt x="0" y="1536"/>
              </a:lnTo>
              <a:lnTo>
                <a:pt x="382524" y="1536"/>
              </a:lnTo>
              <a:lnTo>
                <a:pt x="3825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4C10-CAF1-47B3-816F-971D24A372C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59F3-E252-4E2E-BA73-71AC3193C6DD}">
  <dimension ref="A1:JL80"/>
  <sheetViews>
    <sheetView tabSelected="1" zoomScale="130" zoomScaleNormal="130" workbookViewId="0">
      <pane ySplit="1" topLeftCell="A2" activePane="bottomLeft" state="frozen"/>
      <selection pane="bottomLeft" activeCell="L15" sqref="L15"/>
    </sheetView>
  </sheetViews>
  <sheetFormatPr defaultColWidth="10.88671875" defaultRowHeight="13.8" x14ac:dyDescent="0.3"/>
  <cols>
    <col min="1" max="1" width="10.88671875" style="23"/>
    <col min="2" max="2" width="53.21875" style="5" customWidth="1"/>
    <col min="3" max="3" width="10.33203125" style="5" customWidth="1"/>
    <col min="4" max="4" width="10.88671875" style="14"/>
    <col min="5" max="5" width="10.88671875" style="25"/>
    <col min="6" max="6" width="10.77734375" style="5" customWidth="1"/>
    <col min="7" max="7" width="10.88671875" style="13"/>
    <col min="8" max="8" width="10.88671875" style="14"/>
    <col min="9" max="9" width="10.88671875" style="13"/>
    <col min="10" max="16384" width="10.88671875" style="5"/>
  </cols>
  <sheetData>
    <row r="1" spans="1:272" ht="45.45" customHeight="1" x14ac:dyDescent="0.3">
      <c r="A1" s="1" t="s">
        <v>1</v>
      </c>
      <c r="B1" s="1" t="s">
        <v>0</v>
      </c>
      <c r="C1" s="2" t="s">
        <v>9</v>
      </c>
      <c r="D1" s="3" t="s">
        <v>2</v>
      </c>
      <c r="E1" s="3" t="s">
        <v>3</v>
      </c>
      <c r="F1" s="3" t="s">
        <v>4</v>
      </c>
      <c r="G1" s="4" t="s">
        <v>5</v>
      </c>
      <c r="H1" s="3" t="s">
        <v>6</v>
      </c>
      <c r="I1" s="4" t="s">
        <v>7</v>
      </c>
      <c r="J1" s="3" t="s">
        <v>8</v>
      </c>
    </row>
    <row r="2" spans="1:272" ht="15" customHeight="1" x14ac:dyDescent="0.3">
      <c r="A2" s="6">
        <v>1.1000000000000001</v>
      </c>
      <c r="B2" s="7" t="s">
        <v>18</v>
      </c>
      <c r="C2" s="7"/>
      <c r="D2" s="8"/>
      <c r="E2" s="27"/>
      <c r="F2" s="27"/>
      <c r="G2" s="28"/>
      <c r="H2" s="27"/>
      <c r="I2" s="9"/>
      <c r="J2" s="8"/>
    </row>
    <row r="3" spans="1:272" s="15" customFormat="1" ht="15" customHeight="1" x14ac:dyDescent="0.3">
      <c r="A3" s="10" t="s">
        <v>10</v>
      </c>
      <c r="B3" s="11" t="s">
        <v>11</v>
      </c>
      <c r="C3" s="11">
        <v>1</v>
      </c>
      <c r="D3" s="12">
        <v>42</v>
      </c>
      <c r="E3" s="29">
        <f t="shared" ref="E3:E5" si="0">D3/F3</f>
        <v>8.4</v>
      </c>
      <c r="F3" s="30">
        <v>5</v>
      </c>
      <c r="G3" s="31">
        <f t="shared" ref="G3:G66" si="1">F3/E3</f>
        <v>0.59523809523809523</v>
      </c>
      <c r="H3" s="32">
        <f>IF(D3&lt;19,IF(F3/E3&lt;0.5,1.25,IF(F3/E3&lt;1,2.5,IF(F3/E3&lt;1.5,3.75,IF(F3/E3&lt;2,5,IF(F3/E3&lt;2.5,6.25,IF(F3/E3&lt;3,7.5,0)))))),IF(D3&lt;29,IF(F3/E3&lt;1.5,5,IF(F3/E3&lt;1.75,6.25,IF(F3/E3&lt;2,7.5,0))),F3))</f>
        <v>5</v>
      </c>
      <c r="I3" s="13">
        <f t="shared" ref="I3:I66" si="2">E3*H3</f>
        <v>42</v>
      </c>
      <c r="J3" s="14">
        <f t="shared" ref="J3:J66" si="3">D3-I3</f>
        <v>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</row>
    <row r="4" spans="1:272" s="15" customFormat="1" ht="15" customHeight="1" x14ac:dyDescent="0.3">
      <c r="A4" s="10" t="s">
        <v>12</v>
      </c>
      <c r="B4" s="11" t="s">
        <v>13</v>
      </c>
      <c r="C4" s="11">
        <v>1</v>
      </c>
      <c r="D4" s="12">
        <v>12</v>
      </c>
      <c r="E4" s="29">
        <f t="shared" si="0"/>
        <v>2.4</v>
      </c>
      <c r="F4" s="30">
        <v>5</v>
      </c>
      <c r="G4" s="31">
        <f>F4/E4</f>
        <v>2.0833333333333335</v>
      </c>
      <c r="H4" s="32">
        <v>5</v>
      </c>
      <c r="I4" s="13">
        <f t="shared" si="2"/>
        <v>12</v>
      </c>
      <c r="J4" s="14">
        <f t="shared" si="3"/>
        <v>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</row>
    <row r="5" spans="1:272" s="15" customFormat="1" ht="15" customHeight="1" x14ac:dyDescent="0.3">
      <c r="A5" s="10" t="s">
        <v>14</v>
      </c>
      <c r="B5" s="11" t="s">
        <v>15</v>
      </c>
      <c r="C5" s="11">
        <v>1</v>
      </c>
      <c r="D5" s="16">
        <v>12</v>
      </c>
      <c r="E5" s="29">
        <f t="shared" si="0"/>
        <v>2.4</v>
      </c>
      <c r="F5" s="30">
        <v>5</v>
      </c>
      <c r="G5" s="31">
        <f t="shared" si="1"/>
        <v>2.0833333333333335</v>
      </c>
      <c r="H5" s="32">
        <v>5</v>
      </c>
      <c r="I5" s="13">
        <f t="shared" si="2"/>
        <v>12</v>
      </c>
      <c r="J5" s="14">
        <f t="shared" si="3"/>
        <v>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</row>
    <row r="6" spans="1:272" s="15" customFormat="1" ht="15" customHeight="1" x14ac:dyDescent="0.3">
      <c r="A6" s="10" t="s">
        <v>16</v>
      </c>
      <c r="B6" s="11" t="s">
        <v>17</v>
      </c>
      <c r="C6" s="11">
        <v>1</v>
      </c>
      <c r="D6" s="16">
        <v>18</v>
      </c>
      <c r="E6" s="29">
        <f>D6/F6</f>
        <v>3.6</v>
      </c>
      <c r="F6" s="30">
        <v>5</v>
      </c>
      <c r="G6" s="31">
        <f t="shared" si="1"/>
        <v>1.3888888888888888</v>
      </c>
      <c r="H6" s="32">
        <v>5</v>
      </c>
      <c r="I6" s="13">
        <f t="shared" si="2"/>
        <v>18</v>
      </c>
      <c r="J6" s="14">
        <f t="shared" si="3"/>
        <v>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</row>
    <row r="7" spans="1:272" x14ac:dyDescent="0.3">
      <c r="A7" s="17" t="s">
        <v>19</v>
      </c>
      <c r="B7" s="18" t="s">
        <v>20</v>
      </c>
      <c r="C7" s="19">
        <v>1</v>
      </c>
      <c r="D7" s="26">
        <v>18</v>
      </c>
      <c r="E7" s="29">
        <f t="shared" ref="E7:E69" si="4">D7/F7</f>
        <v>3.6</v>
      </c>
      <c r="F7" s="30">
        <v>5</v>
      </c>
      <c r="G7" s="31">
        <f t="shared" si="1"/>
        <v>1.3888888888888888</v>
      </c>
      <c r="H7" s="30">
        <v>5</v>
      </c>
      <c r="I7" s="13">
        <f t="shared" si="2"/>
        <v>18</v>
      </c>
      <c r="J7" s="14">
        <f t="shared" si="3"/>
        <v>0</v>
      </c>
    </row>
    <row r="8" spans="1:272" x14ac:dyDescent="0.3">
      <c r="A8" s="17" t="s">
        <v>21</v>
      </c>
      <c r="B8" s="18" t="s">
        <v>59</v>
      </c>
      <c r="C8" s="19">
        <v>7</v>
      </c>
      <c r="D8" s="26">
        <v>12</v>
      </c>
      <c r="E8" s="29">
        <f t="shared" si="4"/>
        <v>2.4</v>
      </c>
      <c r="F8" s="30">
        <v>5</v>
      </c>
      <c r="G8" s="31">
        <f t="shared" si="1"/>
        <v>2.0833333333333335</v>
      </c>
      <c r="H8" s="30">
        <v>5</v>
      </c>
      <c r="I8" s="13">
        <f t="shared" si="2"/>
        <v>12</v>
      </c>
      <c r="J8" s="14">
        <f t="shared" si="3"/>
        <v>0</v>
      </c>
    </row>
    <row r="9" spans="1:272" ht="13.05" x14ac:dyDescent="0.3">
      <c r="A9" s="17" t="s">
        <v>22</v>
      </c>
      <c r="B9" s="17" t="s">
        <v>23</v>
      </c>
      <c r="C9" s="19">
        <v>1</v>
      </c>
      <c r="D9" s="26">
        <v>3</v>
      </c>
      <c r="E9" s="29">
        <f t="shared" si="4"/>
        <v>0.6</v>
      </c>
      <c r="F9" s="30">
        <v>5</v>
      </c>
      <c r="G9" s="31">
        <f t="shared" si="1"/>
        <v>8.3333333333333339</v>
      </c>
      <c r="H9" s="30">
        <v>5</v>
      </c>
      <c r="I9" s="13">
        <f t="shared" si="2"/>
        <v>3</v>
      </c>
      <c r="J9" s="14">
        <f t="shared" si="3"/>
        <v>0</v>
      </c>
    </row>
    <row r="10" spans="1:272" ht="13.05" x14ac:dyDescent="0.3">
      <c r="A10" s="17" t="s">
        <v>24</v>
      </c>
      <c r="B10" s="18" t="s">
        <v>25</v>
      </c>
      <c r="C10" s="19">
        <v>1</v>
      </c>
      <c r="D10" s="26">
        <v>18</v>
      </c>
      <c r="E10" s="29">
        <f t="shared" si="4"/>
        <v>3.6</v>
      </c>
      <c r="F10" s="30">
        <v>5</v>
      </c>
      <c r="G10" s="31">
        <f t="shared" si="1"/>
        <v>1.3888888888888888</v>
      </c>
      <c r="H10" s="30">
        <v>5</v>
      </c>
      <c r="I10" s="13">
        <f t="shared" si="2"/>
        <v>18</v>
      </c>
      <c r="J10" s="14">
        <f t="shared" si="3"/>
        <v>0</v>
      </c>
    </row>
    <row r="11" spans="1:272" x14ac:dyDescent="0.3">
      <c r="A11" s="17" t="s">
        <v>26</v>
      </c>
      <c r="B11" s="18" t="s">
        <v>27</v>
      </c>
      <c r="C11" s="19">
        <v>1</v>
      </c>
      <c r="D11" s="26">
        <v>48</v>
      </c>
      <c r="E11" s="29">
        <f t="shared" si="4"/>
        <v>9.6</v>
      </c>
      <c r="F11" s="30">
        <v>5</v>
      </c>
      <c r="G11" s="31">
        <f t="shared" si="1"/>
        <v>0.52083333333333337</v>
      </c>
      <c r="H11" s="30">
        <v>5</v>
      </c>
      <c r="I11" s="13">
        <f t="shared" si="2"/>
        <v>48</v>
      </c>
      <c r="J11" s="14">
        <f t="shared" si="3"/>
        <v>0</v>
      </c>
    </row>
    <row r="12" spans="1:272" ht="13.05" x14ac:dyDescent="0.3">
      <c r="A12" s="21">
        <v>40179</v>
      </c>
      <c r="B12" s="18" t="s">
        <v>28</v>
      </c>
      <c r="C12" s="19">
        <v>1</v>
      </c>
      <c r="D12" s="26">
        <v>15</v>
      </c>
      <c r="E12" s="29">
        <f t="shared" si="4"/>
        <v>3</v>
      </c>
      <c r="F12" s="30">
        <v>5</v>
      </c>
      <c r="G12" s="31">
        <f t="shared" si="1"/>
        <v>1.6666666666666667</v>
      </c>
      <c r="H12" s="30">
        <v>5</v>
      </c>
      <c r="I12" s="13">
        <f t="shared" si="2"/>
        <v>15</v>
      </c>
      <c r="J12" s="14">
        <f t="shared" si="3"/>
        <v>0</v>
      </c>
    </row>
    <row r="13" spans="1:272" x14ac:dyDescent="0.3">
      <c r="A13" s="21">
        <v>40544</v>
      </c>
      <c r="B13" s="18" t="s">
        <v>29</v>
      </c>
      <c r="C13" s="19">
        <v>1</v>
      </c>
      <c r="D13" s="26">
        <v>42</v>
      </c>
      <c r="E13" s="29">
        <f t="shared" si="4"/>
        <v>8.4</v>
      </c>
      <c r="F13" s="30">
        <v>5</v>
      </c>
      <c r="G13" s="31">
        <f t="shared" si="1"/>
        <v>0.59523809523809523</v>
      </c>
      <c r="H13" s="30">
        <v>5</v>
      </c>
      <c r="I13" s="13">
        <f t="shared" si="2"/>
        <v>42</v>
      </c>
      <c r="J13" s="14">
        <f t="shared" si="3"/>
        <v>0</v>
      </c>
    </row>
    <row r="14" spans="1:272" x14ac:dyDescent="0.3">
      <c r="A14" s="21">
        <v>40909</v>
      </c>
      <c r="B14" s="18" t="s">
        <v>30</v>
      </c>
      <c r="C14" s="19">
        <v>1</v>
      </c>
      <c r="D14" s="26">
        <v>18</v>
      </c>
      <c r="E14" s="29">
        <f t="shared" si="4"/>
        <v>3.6</v>
      </c>
      <c r="F14" s="30">
        <v>5</v>
      </c>
      <c r="G14" s="31">
        <f t="shared" si="1"/>
        <v>1.3888888888888888</v>
      </c>
      <c r="H14" s="30">
        <v>5</v>
      </c>
      <c r="I14" s="13">
        <f t="shared" si="2"/>
        <v>18</v>
      </c>
      <c r="J14" s="14">
        <f t="shared" si="3"/>
        <v>0</v>
      </c>
    </row>
    <row r="15" spans="1:272" x14ac:dyDescent="0.3">
      <c r="A15" s="21">
        <v>41275</v>
      </c>
      <c r="B15" s="18" t="s">
        <v>31</v>
      </c>
      <c r="C15" s="19">
        <v>1</v>
      </c>
      <c r="D15" s="26">
        <v>18</v>
      </c>
      <c r="E15" s="29">
        <f t="shared" si="4"/>
        <v>3.6</v>
      </c>
      <c r="F15" s="30">
        <v>5</v>
      </c>
      <c r="G15" s="31">
        <f t="shared" si="1"/>
        <v>1.3888888888888888</v>
      </c>
      <c r="H15" s="30">
        <v>5</v>
      </c>
      <c r="I15" s="13">
        <f t="shared" si="2"/>
        <v>18</v>
      </c>
      <c r="J15" s="14">
        <f t="shared" si="3"/>
        <v>0</v>
      </c>
    </row>
    <row r="16" spans="1:272" x14ac:dyDescent="0.3">
      <c r="A16" s="21">
        <v>41640</v>
      </c>
      <c r="B16" s="18" t="s">
        <v>59</v>
      </c>
      <c r="C16" s="19">
        <v>7</v>
      </c>
      <c r="D16" s="26">
        <v>12</v>
      </c>
      <c r="E16" s="29">
        <f t="shared" si="4"/>
        <v>2.4</v>
      </c>
      <c r="F16" s="30">
        <v>5</v>
      </c>
      <c r="G16" s="31">
        <f t="shared" si="1"/>
        <v>2.0833333333333335</v>
      </c>
      <c r="H16" s="30">
        <v>5</v>
      </c>
      <c r="I16" s="13">
        <f t="shared" si="2"/>
        <v>12</v>
      </c>
      <c r="J16" s="14">
        <f t="shared" si="3"/>
        <v>0</v>
      </c>
    </row>
    <row r="17" spans="1:10" x14ac:dyDescent="0.3">
      <c r="A17" s="21">
        <v>42005</v>
      </c>
      <c r="B17" s="18" t="s">
        <v>32</v>
      </c>
      <c r="C17" s="19">
        <v>3</v>
      </c>
      <c r="D17" s="26">
        <v>42</v>
      </c>
      <c r="E17" s="29">
        <f t="shared" si="4"/>
        <v>8.4</v>
      </c>
      <c r="F17" s="30">
        <v>5</v>
      </c>
      <c r="G17" s="31">
        <f t="shared" si="1"/>
        <v>0.59523809523809523</v>
      </c>
      <c r="H17" s="30">
        <v>5</v>
      </c>
      <c r="I17" s="13">
        <f t="shared" si="2"/>
        <v>42</v>
      </c>
      <c r="J17" s="14">
        <f t="shared" si="3"/>
        <v>0</v>
      </c>
    </row>
    <row r="18" spans="1:10" ht="13.05" x14ac:dyDescent="0.3">
      <c r="A18" s="21">
        <v>42370</v>
      </c>
      <c r="B18" s="17" t="s">
        <v>33</v>
      </c>
      <c r="C18" s="19">
        <v>3</v>
      </c>
      <c r="D18" s="26">
        <v>18</v>
      </c>
      <c r="E18" s="29">
        <f t="shared" si="4"/>
        <v>3.6</v>
      </c>
      <c r="F18" s="30">
        <v>5</v>
      </c>
      <c r="G18" s="31">
        <f t="shared" si="1"/>
        <v>1.3888888888888888</v>
      </c>
      <c r="H18" s="30">
        <v>5</v>
      </c>
      <c r="I18" s="13">
        <f t="shared" si="2"/>
        <v>18</v>
      </c>
      <c r="J18" s="14">
        <f t="shared" si="3"/>
        <v>0</v>
      </c>
    </row>
    <row r="19" spans="1:10" x14ac:dyDescent="0.3">
      <c r="A19" s="21">
        <v>42736</v>
      </c>
      <c r="B19" s="18" t="s">
        <v>59</v>
      </c>
      <c r="C19" s="19">
        <v>9</v>
      </c>
      <c r="D19" s="26">
        <v>12</v>
      </c>
      <c r="E19" s="29">
        <f t="shared" si="4"/>
        <v>2.4</v>
      </c>
      <c r="F19" s="30">
        <v>5</v>
      </c>
      <c r="G19" s="31">
        <f t="shared" si="1"/>
        <v>2.0833333333333335</v>
      </c>
      <c r="H19" s="30">
        <v>5</v>
      </c>
      <c r="I19" s="13">
        <f t="shared" si="2"/>
        <v>12</v>
      </c>
      <c r="J19" s="14">
        <f t="shared" si="3"/>
        <v>0</v>
      </c>
    </row>
    <row r="20" spans="1:10" x14ac:dyDescent="0.3">
      <c r="A20" s="21">
        <v>43101</v>
      </c>
      <c r="B20" s="18" t="s">
        <v>34</v>
      </c>
      <c r="C20" s="19">
        <v>2</v>
      </c>
      <c r="D20" s="26">
        <v>24</v>
      </c>
      <c r="E20" s="29">
        <f t="shared" si="4"/>
        <v>4.8</v>
      </c>
      <c r="F20" s="30">
        <v>5</v>
      </c>
      <c r="G20" s="31">
        <f t="shared" si="1"/>
        <v>1.0416666666666667</v>
      </c>
      <c r="H20" s="30">
        <v>5</v>
      </c>
      <c r="I20" s="13">
        <f t="shared" si="2"/>
        <v>24</v>
      </c>
      <c r="J20" s="14">
        <f t="shared" si="3"/>
        <v>0</v>
      </c>
    </row>
    <row r="21" spans="1:10" ht="13.05" x14ac:dyDescent="0.3">
      <c r="A21" s="21">
        <v>43466</v>
      </c>
      <c r="B21" s="18" t="s">
        <v>35</v>
      </c>
      <c r="C21" s="19">
        <v>2</v>
      </c>
      <c r="D21" s="26">
        <v>12</v>
      </c>
      <c r="E21" s="29">
        <f t="shared" si="4"/>
        <v>2.4</v>
      </c>
      <c r="F21" s="30">
        <v>5</v>
      </c>
      <c r="G21" s="31">
        <f t="shared" si="1"/>
        <v>2.0833333333333335</v>
      </c>
      <c r="H21" s="30">
        <v>5</v>
      </c>
      <c r="I21" s="13">
        <f t="shared" si="2"/>
        <v>12</v>
      </c>
      <c r="J21" s="14">
        <f t="shared" si="3"/>
        <v>0</v>
      </c>
    </row>
    <row r="22" spans="1:10" x14ac:dyDescent="0.3">
      <c r="A22" s="21">
        <v>43831</v>
      </c>
      <c r="B22" s="18" t="s">
        <v>60</v>
      </c>
      <c r="C22" s="19">
        <v>7</v>
      </c>
      <c r="D22" s="26">
        <v>18</v>
      </c>
      <c r="E22" s="29">
        <f t="shared" si="4"/>
        <v>3.6</v>
      </c>
      <c r="F22" s="30">
        <v>5</v>
      </c>
      <c r="G22" s="31">
        <f t="shared" si="1"/>
        <v>1.3888888888888888</v>
      </c>
      <c r="H22" s="30">
        <v>5</v>
      </c>
      <c r="I22" s="13">
        <f t="shared" si="2"/>
        <v>18</v>
      </c>
      <c r="J22" s="14">
        <f t="shared" si="3"/>
        <v>0</v>
      </c>
    </row>
    <row r="23" spans="1:10" x14ac:dyDescent="0.3">
      <c r="A23" s="21">
        <v>44197</v>
      </c>
      <c r="B23" s="18" t="s">
        <v>36</v>
      </c>
      <c r="C23" s="19">
        <v>2</v>
      </c>
      <c r="D23" s="26">
        <v>18</v>
      </c>
      <c r="E23" s="29">
        <f t="shared" si="4"/>
        <v>3.6</v>
      </c>
      <c r="F23" s="30">
        <v>5</v>
      </c>
      <c r="G23" s="31">
        <f t="shared" si="1"/>
        <v>1.3888888888888888</v>
      </c>
      <c r="H23" s="30">
        <v>5</v>
      </c>
      <c r="I23" s="13">
        <f t="shared" si="2"/>
        <v>18</v>
      </c>
      <c r="J23" s="14">
        <f t="shared" si="3"/>
        <v>0</v>
      </c>
    </row>
    <row r="24" spans="1:10" x14ac:dyDescent="0.3">
      <c r="A24" s="21">
        <v>44562</v>
      </c>
      <c r="B24" s="18" t="s">
        <v>61</v>
      </c>
      <c r="C24" s="19">
        <v>1</v>
      </c>
      <c r="D24" s="26">
        <v>18</v>
      </c>
      <c r="E24" s="29">
        <f t="shared" si="4"/>
        <v>3.6</v>
      </c>
      <c r="F24" s="30">
        <v>5</v>
      </c>
      <c r="G24" s="31">
        <f t="shared" si="1"/>
        <v>1.3888888888888888</v>
      </c>
      <c r="H24" s="30">
        <v>5</v>
      </c>
      <c r="I24" s="13">
        <f t="shared" si="2"/>
        <v>18</v>
      </c>
      <c r="J24" s="14">
        <f t="shared" si="3"/>
        <v>0</v>
      </c>
    </row>
    <row r="25" spans="1:10" x14ac:dyDescent="0.3">
      <c r="A25" s="21">
        <v>44927</v>
      </c>
      <c r="B25" s="18" t="s">
        <v>59</v>
      </c>
      <c r="C25" s="19">
        <v>39</v>
      </c>
      <c r="D25" s="26">
        <v>12</v>
      </c>
      <c r="E25" s="29">
        <f t="shared" si="4"/>
        <v>2.4</v>
      </c>
      <c r="F25" s="30">
        <v>5</v>
      </c>
      <c r="G25" s="31">
        <f t="shared" si="1"/>
        <v>2.0833333333333335</v>
      </c>
      <c r="H25" s="30">
        <v>5</v>
      </c>
      <c r="I25" s="13">
        <f t="shared" si="2"/>
        <v>12</v>
      </c>
      <c r="J25" s="14">
        <f t="shared" si="3"/>
        <v>0</v>
      </c>
    </row>
    <row r="26" spans="1:10" x14ac:dyDescent="0.3">
      <c r="A26" s="21">
        <v>45292</v>
      </c>
      <c r="B26" s="17" t="s">
        <v>37</v>
      </c>
      <c r="C26" s="19">
        <v>1</v>
      </c>
      <c r="D26" s="26">
        <v>48</v>
      </c>
      <c r="E26" s="29">
        <f t="shared" si="4"/>
        <v>9.6</v>
      </c>
      <c r="F26" s="30">
        <v>5</v>
      </c>
      <c r="G26" s="31">
        <f t="shared" si="1"/>
        <v>0.52083333333333337</v>
      </c>
      <c r="H26" s="30">
        <v>5</v>
      </c>
      <c r="I26" s="13">
        <f t="shared" si="2"/>
        <v>48</v>
      </c>
      <c r="J26" s="14">
        <f t="shared" si="3"/>
        <v>0</v>
      </c>
    </row>
    <row r="27" spans="1:10" x14ac:dyDescent="0.3">
      <c r="A27" s="21">
        <v>45658</v>
      </c>
      <c r="B27" s="17" t="s">
        <v>38</v>
      </c>
      <c r="C27" s="19">
        <v>2</v>
      </c>
      <c r="D27" s="26">
        <v>30</v>
      </c>
      <c r="E27" s="29">
        <f t="shared" si="4"/>
        <v>6</v>
      </c>
      <c r="F27" s="30">
        <v>5</v>
      </c>
      <c r="G27" s="31">
        <f t="shared" si="1"/>
        <v>0.83333333333333337</v>
      </c>
      <c r="H27" s="30">
        <v>5</v>
      </c>
      <c r="I27" s="13">
        <f t="shared" si="2"/>
        <v>30</v>
      </c>
      <c r="J27" s="14">
        <f t="shared" si="3"/>
        <v>0</v>
      </c>
    </row>
    <row r="28" spans="1:10" ht="13.05" x14ac:dyDescent="0.3">
      <c r="A28" s="21">
        <v>46023</v>
      </c>
      <c r="B28" s="17" t="s">
        <v>62</v>
      </c>
      <c r="C28" s="19">
        <v>2</v>
      </c>
      <c r="D28" s="26">
        <v>42</v>
      </c>
      <c r="E28" s="29">
        <f t="shared" si="4"/>
        <v>8.4</v>
      </c>
      <c r="F28" s="30">
        <v>5</v>
      </c>
      <c r="G28" s="31">
        <f t="shared" si="1"/>
        <v>0.59523809523809523</v>
      </c>
      <c r="H28" s="30">
        <v>5</v>
      </c>
      <c r="I28" s="13">
        <f t="shared" si="2"/>
        <v>42</v>
      </c>
      <c r="J28" s="14">
        <f t="shared" si="3"/>
        <v>0</v>
      </c>
    </row>
    <row r="29" spans="1:10" ht="13.05" x14ac:dyDescent="0.3">
      <c r="A29" s="21">
        <v>46388</v>
      </c>
      <c r="B29" s="18" t="s">
        <v>23</v>
      </c>
      <c r="C29" s="19">
        <v>4</v>
      </c>
      <c r="D29" s="26">
        <v>3</v>
      </c>
      <c r="E29" s="29">
        <f t="shared" si="4"/>
        <v>0.6</v>
      </c>
      <c r="F29" s="30">
        <v>5</v>
      </c>
      <c r="G29" s="31">
        <f t="shared" si="1"/>
        <v>8.3333333333333339</v>
      </c>
      <c r="H29" s="30">
        <v>5</v>
      </c>
      <c r="I29" s="13">
        <f t="shared" si="2"/>
        <v>3</v>
      </c>
      <c r="J29" s="14">
        <f t="shared" si="3"/>
        <v>0</v>
      </c>
    </row>
    <row r="30" spans="1:10" ht="13.05" x14ac:dyDescent="0.3">
      <c r="A30" s="21">
        <v>46753</v>
      </c>
      <c r="B30" s="18" t="s">
        <v>63</v>
      </c>
      <c r="C30" s="19">
        <v>1</v>
      </c>
      <c r="D30" s="26">
        <v>32</v>
      </c>
      <c r="E30" s="29">
        <f t="shared" si="4"/>
        <v>6.4</v>
      </c>
      <c r="F30" s="30">
        <v>5</v>
      </c>
      <c r="G30" s="31">
        <f t="shared" si="1"/>
        <v>0.78125</v>
      </c>
      <c r="H30" s="30">
        <v>5</v>
      </c>
      <c r="I30" s="13">
        <f t="shared" si="2"/>
        <v>32</v>
      </c>
      <c r="J30" s="14">
        <f t="shared" si="3"/>
        <v>0</v>
      </c>
    </row>
    <row r="31" spans="1:10" ht="13.05" x14ac:dyDescent="0.3">
      <c r="A31" s="21">
        <v>47119</v>
      </c>
      <c r="B31" s="18" t="s">
        <v>64</v>
      </c>
      <c r="C31" s="19">
        <v>2</v>
      </c>
      <c r="D31" s="26">
        <v>6</v>
      </c>
      <c r="E31" s="29">
        <f t="shared" si="4"/>
        <v>1.2</v>
      </c>
      <c r="F31" s="30">
        <v>5</v>
      </c>
      <c r="G31" s="31">
        <f t="shared" si="1"/>
        <v>4.166666666666667</v>
      </c>
      <c r="H31" s="30">
        <v>5</v>
      </c>
      <c r="I31" s="13">
        <f t="shared" si="2"/>
        <v>6</v>
      </c>
      <c r="J31" s="14">
        <f t="shared" si="3"/>
        <v>0</v>
      </c>
    </row>
    <row r="32" spans="1:10" x14ac:dyDescent="0.3">
      <c r="A32" s="21">
        <v>47484</v>
      </c>
      <c r="B32" s="17" t="s">
        <v>65</v>
      </c>
      <c r="C32" s="19">
        <v>4</v>
      </c>
      <c r="D32" s="26">
        <v>16</v>
      </c>
      <c r="E32" s="29">
        <f t="shared" si="4"/>
        <v>3.2</v>
      </c>
      <c r="F32" s="30">
        <v>5</v>
      </c>
      <c r="G32" s="31">
        <f t="shared" si="1"/>
        <v>1.5625</v>
      </c>
      <c r="H32" s="30">
        <v>5</v>
      </c>
      <c r="I32" s="13">
        <f t="shared" si="2"/>
        <v>16</v>
      </c>
      <c r="J32" s="14">
        <f t="shared" si="3"/>
        <v>0</v>
      </c>
    </row>
    <row r="33" spans="1:10" x14ac:dyDescent="0.3">
      <c r="A33" s="6">
        <v>1.2</v>
      </c>
      <c r="B33" s="7" t="s">
        <v>39</v>
      </c>
      <c r="C33" s="7"/>
      <c r="D33" s="8"/>
      <c r="E33" s="27"/>
      <c r="F33" s="27"/>
      <c r="G33" s="28"/>
      <c r="H33" s="27"/>
      <c r="I33" s="9"/>
      <c r="J33" s="8"/>
    </row>
    <row r="34" spans="1:10" x14ac:dyDescent="0.3">
      <c r="A34" s="18" t="s">
        <v>66</v>
      </c>
      <c r="B34" s="18" t="s">
        <v>40</v>
      </c>
      <c r="C34" s="19">
        <v>5</v>
      </c>
      <c r="D34" s="26">
        <v>24</v>
      </c>
      <c r="E34" s="29">
        <f t="shared" si="4"/>
        <v>4.8</v>
      </c>
      <c r="F34" s="30">
        <v>5</v>
      </c>
      <c r="G34" s="31">
        <f t="shared" si="1"/>
        <v>1.0416666666666667</v>
      </c>
      <c r="H34" s="30">
        <v>5</v>
      </c>
      <c r="I34" s="13">
        <f t="shared" si="2"/>
        <v>24</v>
      </c>
      <c r="J34" s="14">
        <f t="shared" si="3"/>
        <v>0</v>
      </c>
    </row>
    <row r="35" spans="1:10" ht="13.05" x14ac:dyDescent="0.3">
      <c r="A35" s="17" t="s">
        <v>41</v>
      </c>
      <c r="B35" s="17" t="s">
        <v>67</v>
      </c>
      <c r="C35" s="19">
        <v>10</v>
      </c>
      <c r="D35" s="26">
        <v>12</v>
      </c>
      <c r="E35" s="29">
        <f t="shared" si="4"/>
        <v>2.4</v>
      </c>
      <c r="F35" s="30">
        <v>5</v>
      </c>
      <c r="G35" s="31">
        <f t="shared" si="1"/>
        <v>2.0833333333333335</v>
      </c>
      <c r="H35" s="30">
        <v>5</v>
      </c>
      <c r="I35" s="13">
        <f t="shared" si="2"/>
        <v>12</v>
      </c>
      <c r="J35" s="14">
        <f t="shared" si="3"/>
        <v>0</v>
      </c>
    </row>
    <row r="36" spans="1:10" x14ac:dyDescent="0.3">
      <c r="A36" s="17" t="s">
        <v>42</v>
      </c>
      <c r="B36" s="18" t="s">
        <v>68</v>
      </c>
      <c r="C36" s="19">
        <v>5</v>
      </c>
      <c r="D36" s="26">
        <v>24</v>
      </c>
      <c r="E36" s="29">
        <f t="shared" si="4"/>
        <v>4.8</v>
      </c>
      <c r="F36" s="30">
        <v>5</v>
      </c>
      <c r="G36" s="31">
        <f t="shared" si="1"/>
        <v>1.0416666666666667</v>
      </c>
      <c r="H36" s="30">
        <v>5</v>
      </c>
      <c r="I36" s="13">
        <f t="shared" si="2"/>
        <v>24</v>
      </c>
      <c r="J36" s="14">
        <f t="shared" si="3"/>
        <v>0</v>
      </c>
    </row>
    <row r="37" spans="1:10" ht="13.05" x14ac:dyDescent="0.3">
      <c r="A37" s="17" t="s">
        <v>43</v>
      </c>
      <c r="B37" s="18" t="s">
        <v>69</v>
      </c>
      <c r="C37" s="19">
        <v>5</v>
      </c>
      <c r="D37" s="26">
        <v>12</v>
      </c>
      <c r="E37" s="29">
        <f t="shared" si="4"/>
        <v>2.4</v>
      </c>
      <c r="F37" s="30">
        <v>5</v>
      </c>
      <c r="G37" s="31">
        <f t="shared" si="1"/>
        <v>2.0833333333333335</v>
      </c>
      <c r="H37" s="30">
        <v>5</v>
      </c>
      <c r="I37" s="13">
        <f t="shared" si="2"/>
        <v>12</v>
      </c>
      <c r="J37" s="14">
        <f t="shared" si="3"/>
        <v>0</v>
      </c>
    </row>
    <row r="38" spans="1:10" x14ac:dyDescent="0.3">
      <c r="A38" s="17" t="s">
        <v>44</v>
      </c>
      <c r="B38" s="18" t="s">
        <v>60</v>
      </c>
      <c r="C38" s="19">
        <v>35</v>
      </c>
      <c r="D38" s="26">
        <v>18</v>
      </c>
      <c r="E38" s="29">
        <f t="shared" si="4"/>
        <v>3.6</v>
      </c>
      <c r="F38" s="30">
        <v>5</v>
      </c>
      <c r="G38" s="31">
        <f t="shared" si="1"/>
        <v>1.3888888888888888</v>
      </c>
      <c r="H38" s="30">
        <v>5</v>
      </c>
      <c r="I38" s="13">
        <f t="shared" si="2"/>
        <v>18</v>
      </c>
      <c r="J38" s="14">
        <f t="shared" si="3"/>
        <v>0</v>
      </c>
    </row>
    <row r="39" spans="1:10" x14ac:dyDescent="0.3">
      <c r="A39" s="17" t="s">
        <v>45</v>
      </c>
      <c r="B39" s="18" t="s">
        <v>70</v>
      </c>
      <c r="C39" s="19">
        <v>1</v>
      </c>
      <c r="D39" s="26">
        <v>18</v>
      </c>
      <c r="E39" s="29">
        <f t="shared" si="4"/>
        <v>3.6</v>
      </c>
      <c r="F39" s="30">
        <v>5</v>
      </c>
      <c r="G39" s="31">
        <f t="shared" si="1"/>
        <v>1.3888888888888888</v>
      </c>
      <c r="H39" s="30">
        <v>5</v>
      </c>
      <c r="I39" s="13">
        <f t="shared" si="2"/>
        <v>18</v>
      </c>
      <c r="J39" s="14">
        <f t="shared" si="3"/>
        <v>0</v>
      </c>
    </row>
    <row r="40" spans="1:10" x14ac:dyDescent="0.3">
      <c r="A40" s="17" t="s">
        <v>46</v>
      </c>
      <c r="B40" s="18" t="s">
        <v>71</v>
      </c>
      <c r="C40" s="19">
        <v>1</v>
      </c>
      <c r="D40" s="26">
        <v>18</v>
      </c>
      <c r="E40" s="29">
        <f t="shared" si="4"/>
        <v>3.6</v>
      </c>
      <c r="F40" s="30">
        <v>5</v>
      </c>
      <c r="G40" s="31">
        <f t="shared" si="1"/>
        <v>1.3888888888888888</v>
      </c>
      <c r="H40" s="30">
        <v>5</v>
      </c>
      <c r="I40" s="13">
        <f t="shared" si="2"/>
        <v>18</v>
      </c>
      <c r="J40" s="14">
        <f t="shared" si="3"/>
        <v>0</v>
      </c>
    </row>
    <row r="41" spans="1:10" x14ac:dyDescent="0.3">
      <c r="A41" s="17" t="s">
        <v>47</v>
      </c>
      <c r="B41" s="17" t="s">
        <v>72</v>
      </c>
      <c r="C41" s="19">
        <v>4</v>
      </c>
      <c r="D41" s="26">
        <v>18</v>
      </c>
      <c r="E41" s="29">
        <f t="shared" si="4"/>
        <v>3.6</v>
      </c>
      <c r="F41" s="30">
        <v>5</v>
      </c>
      <c r="G41" s="31">
        <f t="shared" si="1"/>
        <v>1.3888888888888888</v>
      </c>
      <c r="H41" s="30">
        <v>5</v>
      </c>
      <c r="I41" s="13">
        <f t="shared" si="2"/>
        <v>18</v>
      </c>
      <c r="J41" s="14">
        <f t="shared" si="3"/>
        <v>0</v>
      </c>
    </row>
    <row r="42" spans="1:10" x14ac:dyDescent="0.3">
      <c r="A42" s="17" t="s">
        <v>48</v>
      </c>
      <c r="B42" s="18" t="s">
        <v>73</v>
      </c>
      <c r="C42" s="19">
        <v>15</v>
      </c>
      <c r="D42" s="26">
        <v>18</v>
      </c>
      <c r="E42" s="29">
        <f t="shared" si="4"/>
        <v>3.6</v>
      </c>
      <c r="F42" s="30">
        <v>5</v>
      </c>
      <c r="G42" s="31">
        <f t="shared" si="1"/>
        <v>1.3888888888888888</v>
      </c>
      <c r="H42" s="30">
        <v>5</v>
      </c>
      <c r="I42" s="13">
        <f t="shared" si="2"/>
        <v>18</v>
      </c>
      <c r="J42" s="14">
        <f t="shared" si="3"/>
        <v>0</v>
      </c>
    </row>
    <row r="43" spans="1:10" x14ac:dyDescent="0.3">
      <c r="A43" s="21">
        <v>40180</v>
      </c>
      <c r="B43" s="17" t="s">
        <v>74</v>
      </c>
      <c r="C43" s="19">
        <v>2</v>
      </c>
      <c r="D43" s="26">
        <v>12</v>
      </c>
      <c r="E43" s="29">
        <f t="shared" si="4"/>
        <v>2.4</v>
      </c>
      <c r="F43" s="30">
        <v>5</v>
      </c>
      <c r="G43" s="31">
        <f t="shared" si="1"/>
        <v>2.0833333333333335</v>
      </c>
      <c r="H43" s="30">
        <v>5</v>
      </c>
      <c r="I43" s="13">
        <f t="shared" si="2"/>
        <v>12</v>
      </c>
      <c r="J43" s="14">
        <f t="shared" si="3"/>
        <v>0</v>
      </c>
    </row>
    <row r="44" spans="1:10" ht="13.05" x14ac:dyDescent="0.3">
      <c r="A44" s="21">
        <v>40545</v>
      </c>
      <c r="B44" s="18" t="s">
        <v>75</v>
      </c>
      <c r="C44" s="19">
        <v>1</v>
      </c>
      <c r="D44" s="26">
        <v>18</v>
      </c>
      <c r="E44" s="29">
        <f t="shared" si="4"/>
        <v>3.6</v>
      </c>
      <c r="F44" s="30">
        <v>5</v>
      </c>
      <c r="G44" s="31">
        <f t="shared" si="1"/>
        <v>1.3888888888888888</v>
      </c>
      <c r="H44" s="30">
        <v>5</v>
      </c>
      <c r="I44" s="13">
        <f t="shared" si="2"/>
        <v>18</v>
      </c>
      <c r="J44" s="14">
        <f t="shared" si="3"/>
        <v>0</v>
      </c>
    </row>
    <row r="45" spans="1:10" x14ac:dyDescent="0.3">
      <c r="A45" s="21">
        <v>40910</v>
      </c>
      <c r="B45" s="18" t="s">
        <v>76</v>
      </c>
      <c r="C45" s="19">
        <v>1</v>
      </c>
      <c r="D45" s="26">
        <v>36</v>
      </c>
      <c r="E45" s="29">
        <f t="shared" si="4"/>
        <v>7.2</v>
      </c>
      <c r="F45" s="30">
        <v>5</v>
      </c>
      <c r="G45" s="31">
        <f t="shared" si="1"/>
        <v>0.69444444444444442</v>
      </c>
      <c r="H45" s="30">
        <v>5</v>
      </c>
      <c r="I45" s="13">
        <f t="shared" si="2"/>
        <v>36</v>
      </c>
      <c r="J45" s="14">
        <f t="shared" si="3"/>
        <v>0</v>
      </c>
    </row>
    <row r="46" spans="1:10" x14ac:dyDescent="0.3">
      <c r="A46" s="21">
        <v>41276</v>
      </c>
      <c r="B46" s="18" t="s">
        <v>77</v>
      </c>
      <c r="C46" s="19">
        <v>1</v>
      </c>
      <c r="D46" s="26">
        <v>36</v>
      </c>
      <c r="E46" s="29">
        <f t="shared" si="4"/>
        <v>7.2</v>
      </c>
      <c r="F46" s="30">
        <v>5</v>
      </c>
      <c r="G46" s="31">
        <f t="shared" si="1"/>
        <v>0.69444444444444442</v>
      </c>
      <c r="H46" s="30">
        <v>5</v>
      </c>
      <c r="I46" s="13">
        <f t="shared" si="2"/>
        <v>36</v>
      </c>
      <c r="J46" s="14">
        <f t="shared" si="3"/>
        <v>0</v>
      </c>
    </row>
    <row r="47" spans="1:10" ht="13.05" x14ac:dyDescent="0.3">
      <c r="A47" s="21">
        <v>41641</v>
      </c>
      <c r="B47" s="18" t="s">
        <v>49</v>
      </c>
      <c r="C47" s="19">
        <v>1</v>
      </c>
      <c r="D47" s="26">
        <v>18</v>
      </c>
      <c r="E47" s="29">
        <f t="shared" si="4"/>
        <v>3.6</v>
      </c>
      <c r="F47" s="30">
        <v>5</v>
      </c>
      <c r="G47" s="31">
        <f t="shared" si="1"/>
        <v>1.3888888888888888</v>
      </c>
      <c r="H47" s="30">
        <v>5</v>
      </c>
      <c r="I47" s="13">
        <f t="shared" si="2"/>
        <v>18</v>
      </c>
      <c r="J47" s="14">
        <f t="shared" si="3"/>
        <v>0</v>
      </c>
    </row>
    <row r="48" spans="1:10" x14ac:dyDescent="0.3">
      <c r="A48" s="21">
        <v>42006</v>
      </c>
      <c r="B48" s="18" t="s">
        <v>78</v>
      </c>
      <c r="C48" s="19">
        <v>1</v>
      </c>
      <c r="D48" s="26">
        <v>36</v>
      </c>
      <c r="E48" s="29">
        <f t="shared" si="4"/>
        <v>7.2</v>
      </c>
      <c r="F48" s="30">
        <v>5</v>
      </c>
      <c r="G48" s="31">
        <f t="shared" si="1"/>
        <v>0.69444444444444442</v>
      </c>
      <c r="H48" s="30">
        <v>5</v>
      </c>
      <c r="I48" s="13">
        <f t="shared" si="2"/>
        <v>36</v>
      </c>
      <c r="J48" s="14">
        <f t="shared" si="3"/>
        <v>0</v>
      </c>
    </row>
    <row r="49" spans="1:10" x14ac:dyDescent="0.3">
      <c r="A49" s="21">
        <v>42371</v>
      </c>
      <c r="B49" s="18" t="s">
        <v>79</v>
      </c>
      <c r="C49" s="19">
        <v>1</v>
      </c>
      <c r="D49" s="26">
        <v>18</v>
      </c>
      <c r="E49" s="29">
        <f t="shared" si="4"/>
        <v>3.6</v>
      </c>
      <c r="F49" s="30">
        <v>5</v>
      </c>
      <c r="G49" s="31">
        <f t="shared" si="1"/>
        <v>1.3888888888888888</v>
      </c>
      <c r="H49" s="30">
        <v>5</v>
      </c>
      <c r="I49" s="13">
        <f t="shared" si="2"/>
        <v>18</v>
      </c>
      <c r="J49" s="14">
        <f t="shared" si="3"/>
        <v>0</v>
      </c>
    </row>
    <row r="50" spans="1:10" ht="13.05" x14ac:dyDescent="0.3">
      <c r="A50" s="21">
        <v>42737</v>
      </c>
      <c r="B50" s="18" t="s">
        <v>80</v>
      </c>
      <c r="C50" s="19">
        <v>1</v>
      </c>
      <c r="D50" s="26">
        <v>12</v>
      </c>
      <c r="E50" s="29">
        <f t="shared" si="4"/>
        <v>2.4</v>
      </c>
      <c r="F50" s="30">
        <v>5</v>
      </c>
      <c r="G50" s="31">
        <f t="shared" si="1"/>
        <v>2.0833333333333335</v>
      </c>
      <c r="H50" s="30">
        <v>5</v>
      </c>
      <c r="I50" s="13">
        <f t="shared" si="2"/>
        <v>12</v>
      </c>
      <c r="J50" s="14">
        <f t="shared" si="3"/>
        <v>0</v>
      </c>
    </row>
    <row r="51" spans="1:10" x14ac:dyDescent="0.3">
      <c r="A51" s="21">
        <v>43102</v>
      </c>
      <c r="B51" s="18" t="s">
        <v>50</v>
      </c>
      <c r="C51" s="19">
        <v>330</v>
      </c>
      <c r="D51" s="26">
        <v>12</v>
      </c>
      <c r="E51" s="29">
        <f t="shared" si="4"/>
        <v>2.4</v>
      </c>
      <c r="F51" s="30">
        <v>5</v>
      </c>
      <c r="G51" s="31">
        <f t="shared" si="1"/>
        <v>2.0833333333333335</v>
      </c>
      <c r="H51" s="30">
        <v>5</v>
      </c>
      <c r="I51" s="13">
        <f t="shared" si="2"/>
        <v>12</v>
      </c>
      <c r="J51" s="14">
        <f t="shared" si="3"/>
        <v>0</v>
      </c>
    </row>
    <row r="52" spans="1:10" x14ac:dyDescent="0.3">
      <c r="A52" s="21">
        <v>43467</v>
      </c>
      <c r="B52" s="18" t="s">
        <v>51</v>
      </c>
      <c r="C52" s="22">
        <v>1</v>
      </c>
      <c r="D52" s="26">
        <v>12</v>
      </c>
      <c r="E52" s="29">
        <f t="shared" si="4"/>
        <v>2.4</v>
      </c>
      <c r="F52" s="30">
        <v>5</v>
      </c>
      <c r="G52" s="31">
        <f t="shared" si="1"/>
        <v>2.0833333333333335</v>
      </c>
      <c r="H52" s="30">
        <v>5</v>
      </c>
      <c r="I52" s="13">
        <f t="shared" si="2"/>
        <v>12</v>
      </c>
      <c r="J52" s="14">
        <f t="shared" si="3"/>
        <v>0</v>
      </c>
    </row>
    <row r="53" spans="1:10" x14ac:dyDescent="0.3">
      <c r="A53" s="21">
        <v>43832</v>
      </c>
      <c r="B53" s="18" t="s">
        <v>81</v>
      </c>
      <c r="C53" s="19">
        <v>1</v>
      </c>
      <c r="D53" s="26">
        <v>12</v>
      </c>
      <c r="E53" s="29">
        <f t="shared" si="4"/>
        <v>2.4</v>
      </c>
      <c r="F53" s="30">
        <v>5</v>
      </c>
      <c r="G53" s="31">
        <f t="shared" si="1"/>
        <v>2.0833333333333335</v>
      </c>
      <c r="H53" s="30">
        <v>5</v>
      </c>
      <c r="I53" s="13">
        <f t="shared" si="2"/>
        <v>12</v>
      </c>
      <c r="J53" s="14">
        <f t="shared" si="3"/>
        <v>0</v>
      </c>
    </row>
    <row r="54" spans="1:10" x14ac:dyDescent="0.3">
      <c r="A54" s="21">
        <v>44198</v>
      </c>
      <c r="B54" s="18" t="s">
        <v>82</v>
      </c>
      <c r="C54" s="19">
        <v>1</v>
      </c>
      <c r="D54" s="26">
        <v>12</v>
      </c>
      <c r="E54" s="29">
        <f t="shared" si="4"/>
        <v>2.4</v>
      </c>
      <c r="F54" s="30">
        <v>5</v>
      </c>
      <c r="G54" s="31">
        <f t="shared" si="1"/>
        <v>2.0833333333333335</v>
      </c>
      <c r="H54" s="30">
        <v>5</v>
      </c>
      <c r="I54" s="13">
        <f t="shared" si="2"/>
        <v>12</v>
      </c>
      <c r="J54" s="14">
        <f t="shared" si="3"/>
        <v>0</v>
      </c>
    </row>
    <row r="55" spans="1:10" ht="27.6" x14ac:dyDescent="0.3">
      <c r="A55" s="21">
        <v>44563</v>
      </c>
      <c r="B55" s="18" t="s">
        <v>83</v>
      </c>
      <c r="C55" s="19">
        <v>1</v>
      </c>
      <c r="D55" s="26">
        <v>24</v>
      </c>
      <c r="E55" s="29">
        <f t="shared" si="4"/>
        <v>4.8</v>
      </c>
      <c r="F55" s="30">
        <v>5</v>
      </c>
      <c r="G55" s="31">
        <f t="shared" si="1"/>
        <v>1.0416666666666667</v>
      </c>
      <c r="H55" s="30">
        <v>5</v>
      </c>
      <c r="I55" s="13">
        <f t="shared" si="2"/>
        <v>24</v>
      </c>
      <c r="J55" s="14">
        <f t="shared" si="3"/>
        <v>0</v>
      </c>
    </row>
    <row r="56" spans="1:10" x14ac:dyDescent="0.3">
      <c r="A56" s="21">
        <v>44928</v>
      </c>
      <c r="B56" s="18" t="s">
        <v>84</v>
      </c>
      <c r="C56" s="19">
        <v>1</v>
      </c>
      <c r="D56" s="26">
        <v>12</v>
      </c>
      <c r="E56" s="29">
        <f t="shared" si="4"/>
        <v>2.4</v>
      </c>
      <c r="F56" s="30">
        <v>5</v>
      </c>
      <c r="G56" s="31">
        <f t="shared" si="1"/>
        <v>2.0833333333333335</v>
      </c>
      <c r="H56" s="30">
        <v>5</v>
      </c>
      <c r="I56" s="13">
        <f t="shared" si="2"/>
        <v>12</v>
      </c>
      <c r="J56" s="14">
        <f t="shared" si="3"/>
        <v>0</v>
      </c>
    </row>
    <row r="57" spans="1:10" x14ac:dyDescent="0.3">
      <c r="A57" s="21">
        <v>45293</v>
      </c>
      <c r="B57" s="18" t="s">
        <v>85</v>
      </c>
      <c r="C57" s="19">
        <v>1</v>
      </c>
      <c r="D57" s="26">
        <v>12</v>
      </c>
      <c r="E57" s="29">
        <f t="shared" si="4"/>
        <v>2.4</v>
      </c>
      <c r="F57" s="30">
        <v>5</v>
      </c>
      <c r="G57" s="31">
        <f t="shared" si="1"/>
        <v>2.0833333333333335</v>
      </c>
      <c r="H57" s="30">
        <v>5</v>
      </c>
      <c r="I57" s="13">
        <f t="shared" si="2"/>
        <v>12</v>
      </c>
      <c r="J57" s="14">
        <f t="shared" si="3"/>
        <v>0</v>
      </c>
    </row>
    <row r="58" spans="1:10" x14ac:dyDescent="0.3">
      <c r="A58" s="21">
        <v>45659</v>
      </c>
      <c r="B58" s="17" t="s">
        <v>62</v>
      </c>
      <c r="C58" s="19">
        <v>8</v>
      </c>
      <c r="D58" s="26">
        <v>42</v>
      </c>
      <c r="E58" s="29">
        <f t="shared" si="4"/>
        <v>8.4</v>
      </c>
      <c r="F58" s="30">
        <v>5</v>
      </c>
      <c r="G58" s="31">
        <f t="shared" si="1"/>
        <v>0.59523809523809523</v>
      </c>
      <c r="H58" s="30">
        <v>5</v>
      </c>
      <c r="I58" s="13">
        <f t="shared" si="2"/>
        <v>42</v>
      </c>
      <c r="J58" s="14">
        <f t="shared" si="3"/>
        <v>0</v>
      </c>
    </row>
    <row r="59" spans="1:10" x14ac:dyDescent="0.3">
      <c r="A59" s="21">
        <v>46024</v>
      </c>
      <c r="B59" s="17" t="s">
        <v>86</v>
      </c>
      <c r="C59" s="19">
        <v>8</v>
      </c>
      <c r="D59" s="26">
        <v>72</v>
      </c>
      <c r="E59" s="29">
        <f t="shared" si="4"/>
        <v>14.4</v>
      </c>
      <c r="F59" s="30">
        <v>5</v>
      </c>
      <c r="G59" s="31">
        <f t="shared" si="1"/>
        <v>0.34722222222222221</v>
      </c>
      <c r="H59" s="30">
        <v>5</v>
      </c>
      <c r="I59" s="13">
        <f t="shared" si="2"/>
        <v>72</v>
      </c>
      <c r="J59" s="14">
        <f t="shared" si="3"/>
        <v>0</v>
      </c>
    </row>
    <row r="60" spans="1:10" x14ac:dyDescent="0.3">
      <c r="A60" s="21">
        <v>46389</v>
      </c>
      <c r="B60" s="17" t="s">
        <v>87</v>
      </c>
      <c r="C60" s="19">
        <v>16</v>
      </c>
      <c r="D60" s="26">
        <v>3</v>
      </c>
      <c r="E60" s="29">
        <f t="shared" si="4"/>
        <v>0.6</v>
      </c>
      <c r="F60" s="30">
        <v>5</v>
      </c>
      <c r="G60" s="31">
        <f t="shared" si="1"/>
        <v>8.3333333333333339</v>
      </c>
      <c r="H60" s="30">
        <v>5</v>
      </c>
      <c r="I60" s="13">
        <f t="shared" si="2"/>
        <v>3</v>
      </c>
      <c r="J60" s="14">
        <f t="shared" si="3"/>
        <v>0</v>
      </c>
    </row>
    <row r="61" spans="1:10" x14ac:dyDescent="0.3">
      <c r="A61" s="21">
        <v>46754</v>
      </c>
      <c r="B61" s="18" t="s">
        <v>64</v>
      </c>
      <c r="C61" s="19">
        <v>8</v>
      </c>
      <c r="D61" s="26">
        <v>6</v>
      </c>
      <c r="E61" s="29">
        <f t="shared" si="4"/>
        <v>1.2</v>
      </c>
      <c r="F61" s="30">
        <v>5</v>
      </c>
      <c r="G61" s="31">
        <f t="shared" si="1"/>
        <v>4.166666666666667</v>
      </c>
      <c r="H61" s="30">
        <v>5</v>
      </c>
      <c r="I61" s="13">
        <f t="shared" si="2"/>
        <v>6</v>
      </c>
      <c r="J61" s="14">
        <f t="shared" si="3"/>
        <v>0</v>
      </c>
    </row>
    <row r="62" spans="1:10" x14ac:dyDescent="0.3">
      <c r="A62" s="21">
        <v>47120</v>
      </c>
      <c r="B62" s="18" t="s">
        <v>65</v>
      </c>
      <c r="C62" s="19">
        <v>16</v>
      </c>
      <c r="D62" s="26">
        <v>16</v>
      </c>
      <c r="E62" s="29">
        <f t="shared" si="4"/>
        <v>3.2</v>
      </c>
      <c r="F62" s="30">
        <v>5</v>
      </c>
      <c r="G62" s="31">
        <f t="shared" si="1"/>
        <v>1.5625</v>
      </c>
      <c r="H62" s="30">
        <v>5</v>
      </c>
      <c r="I62" s="13">
        <f t="shared" si="2"/>
        <v>16</v>
      </c>
      <c r="J62" s="14">
        <f t="shared" si="3"/>
        <v>0</v>
      </c>
    </row>
    <row r="63" spans="1:10" x14ac:dyDescent="0.3">
      <c r="A63" s="6">
        <v>1.3</v>
      </c>
      <c r="B63" s="7" t="s">
        <v>52</v>
      </c>
      <c r="C63" s="7"/>
      <c r="D63" s="8"/>
      <c r="E63" s="27"/>
      <c r="F63" s="27"/>
      <c r="G63" s="28"/>
      <c r="H63" s="27"/>
      <c r="I63" s="9"/>
      <c r="J63" s="8"/>
    </row>
    <row r="64" spans="1:10" x14ac:dyDescent="0.3">
      <c r="A64" s="17" t="s">
        <v>53</v>
      </c>
      <c r="B64" s="18" t="s">
        <v>88</v>
      </c>
      <c r="C64" s="19">
        <v>1</v>
      </c>
      <c r="D64" s="26">
        <v>18</v>
      </c>
      <c r="E64" s="29">
        <f t="shared" si="4"/>
        <v>3.6</v>
      </c>
      <c r="F64" s="30">
        <v>5</v>
      </c>
      <c r="G64" s="31">
        <f t="shared" si="1"/>
        <v>1.3888888888888888</v>
      </c>
      <c r="H64" s="30">
        <v>5</v>
      </c>
      <c r="I64" s="13">
        <f t="shared" si="2"/>
        <v>18</v>
      </c>
      <c r="J64" s="14">
        <f t="shared" si="3"/>
        <v>0</v>
      </c>
    </row>
    <row r="65" spans="1:10" x14ac:dyDescent="0.3">
      <c r="A65" s="17" t="s">
        <v>54</v>
      </c>
      <c r="B65" s="18" t="s">
        <v>89</v>
      </c>
      <c r="C65" s="19">
        <v>2</v>
      </c>
      <c r="D65" s="26">
        <v>12</v>
      </c>
      <c r="E65" s="29">
        <f t="shared" si="4"/>
        <v>2.4</v>
      </c>
      <c r="F65" s="30">
        <v>5</v>
      </c>
      <c r="G65" s="31">
        <f t="shared" si="1"/>
        <v>2.0833333333333335</v>
      </c>
      <c r="H65" s="30">
        <v>5</v>
      </c>
      <c r="I65" s="13">
        <f t="shared" si="2"/>
        <v>12</v>
      </c>
      <c r="J65" s="14">
        <f t="shared" si="3"/>
        <v>0</v>
      </c>
    </row>
    <row r="66" spans="1:10" x14ac:dyDescent="0.3">
      <c r="A66" s="17" t="s">
        <v>55</v>
      </c>
      <c r="B66" s="18" t="s">
        <v>90</v>
      </c>
      <c r="C66" s="19">
        <v>1</v>
      </c>
      <c r="D66" s="26">
        <v>126</v>
      </c>
      <c r="E66" s="29">
        <f t="shared" si="4"/>
        <v>25.2</v>
      </c>
      <c r="F66" s="30">
        <v>5</v>
      </c>
      <c r="G66" s="31">
        <f t="shared" si="1"/>
        <v>0.19841269841269843</v>
      </c>
      <c r="H66" s="30">
        <v>5</v>
      </c>
      <c r="I66" s="13">
        <f t="shared" si="2"/>
        <v>126</v>
      </c>
      <c r="J66" s="14">
        <f t="shared" si="3"/>
        <v>0</v>
      </c>
    </row>
    <row r="67" spans="1:10" x14ac:dyDescent="0.3">
      <c r="A67" s="17" t="s">
        <v>56</v>
      </c>
      <c r="B67" s="18" t="s">
        <v>91</v>
      </c>
      <c r="C67" s="19">
        <v>1</v>
      </c>
      <c r="D67" s="26">
        <v>12</v>
      </c>
      <c r="E67" s="29">
        <f t="shared" si="4"/>
        <v>2.4</v>
      </c>
      <c r="F67" s="30">
        <v>5</v>
      </c>
      <c r="G67" s="31">
        <f t="shared" ref="G67:G69" si="5">F67/E67</f>
        <v>2.0833333333333335</v>
      </c>
      <c r="H67" s="30">
        <v>5</v>
      </c>
      <c r="I67" s="13">
        <f t="shared" ref="I67:I69" si="6">E67*H67</f>
        <v>12</v>
      </c>
      <c r="J67" s="14">
        <f t="shared" ref="J67:J69" si="7">D67-I67</f>
        <v>0</v>
      </c>
    </row>
    <row r="68" spans="1:10" ht="13.8" customHeight="1" x14ac:dyDescent="0.3">
      <c r="A68" s="6">
        <v>1.4</v>
      </c>
      <c r="B68" s="7" t="s">
        <v>92</v>
      </c>
      <c r="C68" s="7"/>
      <c r="D68" s="8"/>
      <c r="E68" s="27"/>
      <c r="F68" s="27"/>
      <c r="G68" s="28"/>
      <c r="H68" s="27"/>
      <c r="I68" s="9"/>
      <c r="J68" s="8"/>
    </row>
    <row r="69" spans="1:10" x14ac:dyDescent="0.3">
      <c r="A69" s="17" t="s">
        <v>57</v>
      </c>
      <c r="B69" s="18" t="s">
        <v>58</v>
      </c>
      <c r="C69" s="20">
        <v>9</v>
      </c>
      <c r="D69" s="26">
        <v>35</v>
      </c>
      <c r="E69" s="29">
        <f t="shared" si="4"/>
        <v>7</v>
      </c>
      <c r="F69" s="30">
        <v>5</v>
      </c>
      <c r="G69" s="31">
        <f t="shared" si="5"/>
        <v>0.7142857142857143</v>
      </c>
      <c r="H69" s="30">
        <v>5</v>
      </c>
      <c r="I69" s="13">
        <f t="shared" si="6"/>
        <v>35</v>
      </c>
      <c r="J69" s="14">
        <f t="shared" si="7"/>
        <v>0</v>
      </c>
    </row>
    <row r="70" spans="1:10" x14ac:dyDescent="0.3">
      <c r="E70" s="5"/>
      <c r="F70" s="24"/>
      <c r="J70" s="14"/>
    </row>
    <row r="71" spans="1:10" x14ac:dyDescent="0.3">
      <c r="E71" s="5"/>
      <c r="F71" s="24"/>
      <c r="J71" s="14"/>
    </row>
    <row r="72" spans="1:10" x14ac:dyDescent="0.3">
      <c r="E72" s="5"/>
      <c r="F72" s="24"/>
      <c r="J72" s="14"/>
    </row>
    <row r="73" spans="1:10" x14ac:dyDescent="0.3">
      <c r="E73" s="5"/>
      <c r="F73" s="24"/>
      <c r="J73" s="14"/>
    </row>
    <row r="74" spans="1:10" x14ac:dyDescent="0.3">
      <c r="E74" s="5"/>
      <c r="F74" s="24"/>
      <c r="J74" s="14"/>
    </row>
    <row r="75" spans="1:10" x14ac:dyDescent="0.3">
      <c r="E75" s="5"/>
      <c r="F75" s="24"/>
      <c r="J75" s="14"/>
    </row>
    <row r="76" spans="1:10" x14ac:dyDescent="0.3">
      <c r="E76" s="5"/>
      <c r="F76" s="24"/>
      <c r="J76" s="14"/>
    </row>
    <row r="77" spans="1:10" x14ac:dyDescent="0.3">
      <c r="E77" s="5"/>
      <c r="F77" s="24"/>
      <c r="J77" s="14"/>
    </row>
    <row r="78" spans="1:10" x14ac:dyDescent="0.3">
      <c r="E78" s="5"/>
      <c r="F78" s="24"/>
      <c r="J78" s="14"/>
    </row>
    <row r="79" spans="1:10" x14ac:dyDescent="0.3">
      <c r="E79" s="5"/>
      <c r="F79" s="24"/>
      <c r="J79" s="14"/>
    </row>
    <row r="80" spans="1:10" x14ac:dyDescent="0.3">
      <c r="E80" s="5"/>
      <c r="F80" s="24"/>
      <c r="J80" s="14"/>
    </row>
  </sheetData>
  <conditionalFormatting sqref="J3">
    <cfRule type="colorScale" priority="274">
      <colorScale>
        <cfvo type="min"/>
        <cfvo type="percentile" val="50"/>
        <cfvo type="max"/>
        <color rgb="FFFCC8C9"/>
        <color rgb="FFFFF9D9"/>
        <color rgb="FFC4E6CD"/>
      </colorScale>
    </cfRule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6">
      <colorScale>
        <cfvo type="min"/>
        <cfvo type="max"/>
        <color rgb="FFFCFCFF"/>
        <color rgb="FF63BE7B"/>
      </colorScale>
    </cfRule>
  </conditionalFormatting>
  <conditionalFormatting sqref="J4">
    <cfRule type="colorScale" priority="265">
      <colorScale>
        <cfvo type="min"/>
        <cfvo type="percentile" val="50"/>
        <cfvo type="max"/>
        <color rgb="FFFCC8C9"/>
        <color rgb="FFFFF9D9"/>
        <color rgb="FFC4E6CD"/>
      </colorScale>
    </cfRule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7">
      <colorScale>
        <cfvo type="min"/>
        <cfvo type="max"/>
        <color rgb="FFFCFCFF"/>
        <color rgb="FF63BE7B"/>
      </colorScale>
    </cfRule>
  </conditionalFormatting>
  <conditionalFormatting sqref="J5">
    <cfRule type="colorScale" priority="4">
      <colorScale>
        <cfvo type="min"/>
        <cfvo type="percentile" val="50"/>
        <cfvo type="max"/>
        <color rgb="FFFCC8C9"/>
        <color rgb="FFFFF9D9"/>
        <color rgb="FFC4E6CD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J6:J32 J34:J62 J64:J67 J69">
    <cfRule type="colorScale" priority="1">
      <colorScale>
        <cfvo type="min"/>
        <cfvo type="percentile" val="50"/>
        <cfvo type="max"/>
        <color rgb="FFFCC8C9"/>
        <color rgb="FFFFF9D9"/>
        <color rgb="FFC4E6CD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J70:J80">
    <cfRule type="colorScale" priority="268">
      <colorScale>
        <cfvo type="min"/>
        <cfvo type="percentile" val="50"/>
        <cfvo type="max"/>
        <color rgb="FFFCC8C9"/>
        <color rgb="FFFFF9D9"/>
        <color rgb="FFC4E6CD"/>
      </colorScale>
    </cfRule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0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Building</vt:lpstr>
      <vt:lpstr>BMZ Office</vt:lpstr>
    </vt:vector>
  </TitlesOfParts>
  <Company>HDR,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Kelly, Diarmuid</dc:creator>
  <cp:lastModifiedBy>Roberto Vargas</cp:lastModifiedBy>
  <dcterms:created xsi:type="dcterms:W3CDTF">2020-12-17T13:50:22Z</dcterms:created>
  <dcterms:modified xsi:type="dcterms:W3CDTF">2024-11-04T14:22:50Z</dcterms:modified>
</cp:coreProperties>
</file>